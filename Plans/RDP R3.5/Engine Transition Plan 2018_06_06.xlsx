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y/Desktop/rapidsse/Documents/RDP R3.5/"/>
    </mc:Choice>
  </mc:AlternateContent>
  <xr:revisionPtr revIDLastSave="0" documentId="8_{E8C2A99C-F9D5-1D40-B11D-9CCFF9139A6A}" xr6:coauthVersionLast="33" xr6:coauthVersionMax="33" xr10:uidLastSave="{00000000-0000-0000-0000-000000000000}"/>
  <bookViews>
    <workbookView xWindow="2880" yWindow="460" windowWidth="67720" windowHeight="40820" xr2:uid="{00000000-000D-0000-FFFF-FFFF00000000}"/>
  </bookViews>
  <sheets>
    <sheet name="Task List" sheetId="1" r:id="rId1"/>
    <sheet name="Key Milestones" sheetId="2" r:id="rId2"/>
    <sheet name="Sheet3" sheetId="3" r:id="rId3"/>
  </sheets>
  <calcPr calcId="179017"/>
</workbook>
</file>

<file path=xl/calcChain.xml><?xml version="1.0" encoding="utf-8"?>
<calcChain xmlns="http://schemas.openxmlformats.org/spreadsheetml/2006/main">
  <c r="N154" i="1" l="1"/>
  <c r="G153" i="1"/>
  <c r="G149" i="1"/>
  <c r="G145" i="1"/>
  <c r="G133" i="1"/>
  <c r="G130" i="1"/>
  <c r="G119" i="1"/>
  <c r="G111" i="1"/>
  <c r="G103" i="1"/>
  <c r="G155" i="1" s="1"/>
  <c r="G87" i="1"/>
  <c r="L154" i="1"/>
</calcChain>
</file>

<file path=xl/sharedStrings.xml><?xml version="1.0" encoding="utf-8"?>
<sst xmlns="http://schemas.openxmlformats.org/spreadsheetml/2006/main" count="247" uniqueCount="123">
  <si>
    <t>Round</t>
  </si>
  <si>
    <t>&lt; &lt;= = &lt;&gt; &gt;= &gt;</t>
  </si>
  <si>
    <t>Char</t>
  </si>
  <si>
    <t>FromUnixTime</t>
  </si>
  <si>
    <t>+ - * /</t>
  </si>
  <si>
    <t>If</t>
  </si>
  <si>
    <t>Abs, Ceiling, Floor, Mod</t>
  </si>
  <si>
    <t>Variance / VarSamp / StdDev / StdDevSamp</t>
  </si>
  <si>
    <t>Filter</t>
  </si>
  <si>
    <t>Join</t>
  </si>
  <si>
    <t>Order</t>
  </si>
  <si>
    <t>Aggregate</t>
  </si>
  <si>
    <t>Project</t>
  </si>
  <si>
    <t>Abs, Ceiling, Floor, Mod, Exp, Pow, Sqrt</t>
  </si>
  <si>
    <t>Legacy input adapter</t>
  </si>
  <si>
    <t>Distributed RunContext</t>
  </si>
  <si>
    <t>Query Ops</t>
  </si>
  <si>
    <t>Hour, Minute, Second / ExtractSecond</t>
  </si>
  <si>
    <t>Month, Quarter, Year</t>
  </si>
  <si>
    <t>DayOfWeek, DayOfMonth, DayOfYear</t>
  </si>
  <si>
    <t>WeekDay, WeekOfYear</t>
  </si>
  <si>
    <t>+ - Interval64</t>
  </si>
  <si>
    <t>CharLength, Position</t>
  </si>
  <si>
    <t>Left, Right, LTrim, RTrim</t>
  </si>
  <si>
    <t>Like, LikeEscape</t>
  </si>
  <si>
    <t>Lower, Upper</t>
  </si>
  <si>
    <t>Concat, SubString2, SubString3</t>
  </si>
  <si>
    <t>+ - OmniInterval</t>
  </si>
  <si>
    <t>OmniInterval</t>
  </si>
  <si>
    <t>Distributed Stream</t>
  </si>
  <si>
    <t>Section</t>
  </si>
  <si>
    <t>Item(s)</t>
  </si>
  <si>
    <t>- Timestamp64</t>
  </si>
  <si>
    <t>And / Or / Not / IsNull</t>
  </si>
  <si>
    <t>&lt; &lt;= = &lt;&gt; &gt;= &gt; IsNull</t>
  </si>
  <si>
    <t>Count, Min, Max</t>
  </si>
  <si>
    <t>Sum, Avg</t>
  </si>
  <si>
    <t>Frame / casts / conversions</t>
  </si>
  <si>
    <t>BigDecimal</t>
  </si>
  <si>
    <t>Varbinary</t>
  </si>
  <si>
    <t>Insert</t>
  </si>
  <si>
    <t>Rich</t>
  </si>
  <si>
    <t>Materialization</t>
  </si>
  <si>
    <t>Actual</t>
  </si>
  <si>
    <t>Query Planner</t>
  </si>
  <si>
    <t>Executor Framework</t>
  </si>
  <si>
    <t>Substrate</t>
  </si>
  <si>
    <t>Type resolution</t>
  </si>
  <si>
    <t>Op/UDF grammar</t>
  </si>
  <si>
    <t>Object/UDT grammar</t>
  </si>
  <si>
    <t>Caching strategy</t>
  </si>
  <si>
    <t>CSE / cache-point marking</t>
  </si>
  <si>
    <t>Proc generation</t>
  </si>
  <si>
    <t>Library scan/load</t>
  </si>
  <si>
    <t>Op/UDF generation</t>
  </si>
  <si>
    <t>Object/UDT generation</t>
  </si>
  <si>
    <t>Array/row grammar</t>
  </si>
  <si>
    <t>Array/row generation</t>
  </si>
  <si>
    <t>Type/op annotation</t>
  </si>
  <si>
    <t>Expr Ops</t>
  </si>
  <si>
    <t>Type framework</t>
  </si>
  <si>
    <t>Misc reorg</t>
  </si>
  <si>
    <t>Legacy output adapter</t>
  </si>
  <si>
    <t>Query state/metrics framework</t>
  </si>
  <si>
    <t>Query state/metrics distribution</t>
  </si>
  <si>
    <t>(defer)</t>
  </si>
  <si>
    <t>(done)</t>
  </si>
  <si>
    <t>Query state/metrics retrieval</t>
  </si>
  <si>
    <t>Resource tracking framework</t>
  </si>
  <si>
    <t>Query/resource scheduler</t>
  </si>
  <si>
    <t>Query hold/cancel/prioritize</t>
  </si>
  <si>
    <t>EXPLAIN/STATS</t>
  </si>
  <si>
    <t>Case sensitive IDs &amp; nonreserved words</t>
  </si>
  <si>
    <t>Caching  engine</t>
  </si>
  <si>
    <t>Query restart</t>
  </si>
  <si>
    <t xml:space="preserve">        ?</t>
  </si>
  <si>
    <t>FastDecimal</t>
  </si>
  <si>
    <t>FastFloat</t>
  </si>
  <si>
    <t>FastInteger</t>
  </si>
  <si>
    <t>TimeInterval</t>
  </si>
  <si>
    <t>Exception / Error / Internationalization rework</t>
  </si>
  <si>
    <t>Fed: context portability rework</t>
  </si>
  <si>
    <t>Fed: caching rework</t>
  </si>
  <si>
    <t>Misc: CAST, ISNULL, IF, COALESCE, DECODE</t>
  </si>
  <si>
    <t>Union / Intersect / Except</t>
  </si>
  <si>
    <t>Connectors</t>
  </si>
  <si>
    <t>Update expr handling</t>
  </si>
  <si>
    <t>Column/roster rework</t>
  </si>
  <si>
    <t>Partitioning/co-partitioning rework</t>
  </si>
  <si>
    <t>Literal vs constant vs invariant review</t>
  </si>
  <si>
    <t>Normalization review / rework</t>
  </si>
  <si>
    <t>Boolean simplification review / rework</t>
  </si>
  <si>
    <t>Range preds review (executable expr? )</t>
  </si>
  <si>
    <t>FastBoolean</t>
  </si>
  <si>
    <t>Est. Remaining</t>
  </si>
  <si>
    <t>Initial Estimate</t>
  </si>
  <si>
    <t>CREATE TABLE gen</t>
  </si>
  <si>
    <t>CREATE TABLE &amp; CAST grammar changes</t>
  </si>
  <si>
    <t>Intervals design &amp; grammar changes</t>
  </si>
  <si>
    <t>Fed: connector API rework</t>
  </si>
  <si>
    <r>
      <t>Int64</t>
    </r>
    <r>
      <rPr>
        <b/>
        <sz val="10"/>
        <rFont val="Arial"/>
        <family val="2"/>
      </rPr>
      <t xml:space="preserve"> JavaLong</t>
    </r>
  </si>
  <si>
    <r>
      <t>Varchar</t>
    </r>
    <r>
      <rPr>
        <b/>
        <sz val="10"/>
        <rFont val="Arial"/>
        <family val="2"/>
      </rPr>
      <t xml:space="preserve">  JavaString</t>
    </r>
  </si>
  <si>
    <t>Update result &amp; context handling</t>
  </si>
  <si>
    <t>FastTimestamp</t>
  </si>
  <si>
    <t>Aggregate issues (SUM/COUNT, DISTINCT, discrete)</t>
  </si>
  <si>
    <t>Core team</t>
  </si>
  <si>
    <t>Core team (timestamp/interval related)</t>
  </si>
  <si>
    <t>Fed: general rework</t>
  </si>
  <si>
    <t>(defer) ???</t>
  </si>
  <si>
    <t>Complex JOINs - answer the question about JIT Capacity</t>
  </si>
  <si>
    <t>Run full set of TPC-H queries</t>
  </si>
  <si>
    <t>SE Interface: major issues resolved and plan in place</t>
  </si>
  <si>
    <t>Review and update schedule</t>
  </si>
  <si>
    <t>Total</t>
  </si>
  <si>
    <t>Other</t>
  </si>
  <si>
    <t>Craig</t>
  </si>
  <si>
    <t>Connector specific (Myvan)</t>
  </si>
  <si>
    <t>Code complete</t>
  </si>
  <si>
    <t>Dependencies:</t>
  </si>
  <si>
    <t>String functions: LIKE, SUBSTRING</t>
  </si>
  <si>
    <t>Timestamp functions: EXTRACT, INTERVAL ( can work around)</t>
  </si>
  <si>
    <t>Misc functions: BETWEEN (can work around), IN (can work around)</t>
  </si>
  <si>
    <t>ORDER BY - can do initial run and get results without ordering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</si>
</sst>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0" fillId="3" borderId="0" xfId="0" quotePrefix="1" applyFill="1"/>
    <xf numFmtId="0" fontId="0" fillId="5" borderId="0" xfId="0" applyFill="1"/>
    <xf numFmtId="0" fontId="0" fillId="5" borderId="0" xfId="0" quotePrefix="1" applyFill="1"/>
    <xf numFmtId="0" fontId="3" fillId="5" borderId="0" xfId="0" applyFont="1" applyFill="1"/>
    <xf numFmtId="0" fontId="3" fillId="6" borderId="0" xfId="0" applyFont="1" applyFill="1"/>
    <xf numFmtId="0" fontId="0" fillId="6" borderId="0" xfId="0" applyFill="1"/>
    <xf numFmtId="0" fontId="0" fillId="6" borderId="0" xfId="0" quotePrefix="1" applyFill="1"/>
    <xf numFmtId="0" fontId="2" fillId="2" borderId="0" xfId="0" applyFont="1" applyFill="1" applyAlignment="1">
      <alignment horizontal="right"/>
    </xf>
    <xf numFmtId="0" fontId="2" fillId="5" borderId="0" xfId="0" applyFont="1" applyFill="1"/>
    <xf numFmtId="0" fontId="2" fillId="3" borderId="0" xfId="0" applyFont="1" applyFill="1"/>
    <xf numFmtId="0" fontId="2" fillId="6" borderId="0" xfId="0" applyFont="1" applyFill="1"/>
    <xf numFmtId="0" fontId="2" fillId="4" borderId="0" xfId="0" applyFont="1" applyFill="1"/>
    <xf numFmtId="0" fontId="4" fillId="4" borderId="0" xfId="0" applyFont="1" applyFill="1"/>
    <xf numFmtId="0" fontId="0" fillId="7" borderId="0" xfId="0" applyFill="1"/>
    <xf numFmtId="0" fontId="2" fillId="7" borderId="0" xfId="0" applyFont="1" applyFill="1"/>
    <xf numFmtId="0" fontId="5" fillId="2" borderId="0" xfId="0" applyFont="1" applyFill="1"/>
    <xf numFmtId="0" fontId="6" fillId="2" borderId="0" xfId="0" applyFont="1" applyFill="1"/>
    <xf numFmtId="0" fontId="0" fillId="8" borderId="0" xfId="0" applyFill="1"/>
    <xf numFmtId="0" fontId="2" fillId="8" borderId="0" xfId="0" applyFont="1" applyFill="1"/>
    <xf numFmtId="0" fontId="2" fillId="9" borderId="0" xfId="0" applyFont="1" applyFill="1"/>
    <xf numFmtId="0" fontId="0" fillId="9" borderId="0" xfId="0" applyFill="1"/>
    <xf numFmtId="0" fontId="4" fillId="5" borderId="0" xfId="0" applyFont="1" applyFill="1"/>
    <xf numFmtId="0" fontId="4" fillId="5" borderId="0" xfId="0" quotePrefix="1" applyFont="1" applyFill="1"/>
    <xf numFmtId="0" fontId="4" fillId="7" borderId="0" xfId="0" applyFont="1" applyFill="1"/>
    <xf numFmtId="16" fontId="0" fillId="0" borderId="0" xfId="0" applyNumberFormat="1"/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"/>
  <sheetViews>
    <sheetView tabSelected="1" zoomScale="257" zoomScaleNormal="257" workbookViewId="0">
      <selection activeCell="A3" sqref="A3"/>
    </sheetView>
  </sheetViews>
  <sheetFormatPr baseColWidth="10" defaultColWidth="8.83203125" defaultRowHeight="13" x14ac:dyDescent="0.15"/>
  <cols>
    <col min="1" max="1" width="23.5" customWidth="1"/>
    <col min="2" max="2" width="46" customWidth="1"/>
    <col min="3" max="3" width="14.6640625" customWidth="1"/>
    <col min="4" max="4" width="4.6640625" customWidth="1"/>
    <col min="5" max="5" width="10.83203125" customWidth="1"/>
    <col min="6" max="6" width="14.6640625" customWidth="1"/>
    <col min="7" max="7" width="4.6640625" customWidth="1"/>
    <col min="8" max="8" width="10.6640625" customWidth="1"/>
    <col min="9" max="9" width="14.6640625" customWidth="1"/>
    <col min="10" max="10" width="4.6640625" customWidth="1"/>
    <col min="11" max="11" width="10.6640625" customWidth="1"/>
    <col min="12" max="12" width="14.6640625" customWidth="1"/>
    <col min="13" max="13" width="9.6640625" customWidth="1"/>
    <col min="14" max="14" width="13.6640625" customWidth="1"/>
  </cols>
  <sheetData>
    <row r="1" spans="1:14" x14ac:dyDescent="0.15">
      <c r="K1" s="34" t="s">
        <v>41</v>
      </c>
      <c r="L1" s="34"/>
      <c r="M1" s="34" t="s">
        <v>114</v>
      </c>
      <c r="N1" s="34"/>
    </row>
    <row r="2" spans="1:14" s="1" customFormat="1" x14ac:dyDescent="0.15">
      <c r="A2" s="4" t="s">
        <v>30</v>
      </c>
      <c r="B2" s="4" t="s">
        <v>31</v>
      </c>
      <c r="C2" s="15" t="s">
        <v>95</v>
      </c>
      <c r="E2" s="2" t="s">
        <v>43</v>
      </c>
      <c r="F2" s="2" t="s">
        <v>94</v>
      </c>
      <c r="H2" s="2" t="s">
        <v>43</v>
      </c>
      <c r="I2" s="2" t="s">
        <v>94</v>
      </c>
      <c r="K2" s="2" t="s">
        <v>43</v>
      </c>
      <c r="L2" s="2" t="s">
        <v>94</v>
      </c>
      <c r="M2" s="2" t="s">
        <v>43</v>
      </c>
      <c r="N2" s="2" t="s">
        <v>94</v>
      </c>
    </row>
    <row r="3" spans="1:14" s="1" customFormat="1" x14ac:dyDescent="0.15">
      <c r="C3" s="2"/>
      <c r="M3"/>
    </row>
    <row r="4" spans="1:14" s="1" customFormat="1" x14ac:dyDescent="0.15">
      <c r="B4" s="19" t="s">
        <v>41</v>
      </c>
      <c r="C4" s="2"/>
      <c r="E4"/>
      <c r="F4"/>
      <c r="H4"/>
      <c r="I4"/>
      <c r="K4"/>
      <c r="L4"/>
      <c r="M4"/>
    </row>
    <row r="5" spans="1:14" s="1" customFormat="1" x14ac:dyDescent="0.15">
      <c r="B5" s="18" t="s">
        <v>115</v>
      </c>
      <c r="C5" s="2"/>
      <c r="E5"/>
      <c r="F5"/>
      <c r="H5"/>
      <c r="I5"/>
      <c r="K5"/>
      <c r="L5"/>
      <c r="M5"/>
    </row>
    <row r="6" spans="1:14" s="1" customFormat="1" x14ac:dyDescent="0.15">
      <c r="B6" s="17" t="s">
        <v>106</v>
      </c>
      <c r="C6" s="2"/>
      <c r="E6"/>
      <c r="F6"/>
      <c r="H6"/>
      <c r="I6"/>
      <c r="K6"/>
      <c r="L6"/>
      <c r="M6"/>
    </row>
    <row r="7" spans="1:14" s="1" customFormat="1" x14ac:dyDescent="0.15">
      <c r="B7" s="16" t="s">
        <v>105</v>
      </c>
      <c r="C7" s="2"/>
      <c r="E7"/>
      <c r="F7"/>
      <c r="H7"/>
      <c r="I7"/>
      <c r="K7"/>
      <c r="L7"/>
      <c r="M7"/>
    </row>
    <row r="8" spans="1:14" s="1" customFormat="1" x14ac:dyDescent="0.15">
      <c r="B8" s="27" t="s">
        <v>116</v>
      </c>
      <c r="C8" s="2"/>
      <c r="E8"/>
      <c r="F8"/>
      <c r="H8"/>
      <c r="I8"/>
      <c r="K8"/>
      <c r="L8"/>
      <c r="M8"/>
    </row>
    <row r="9" spans="1:14" s="1" customFormat="1" x14ac:dyDescent="0.15">
      <c r="C9" s="2"/>
      <c r="F9"/>
      <c r="I9"/>
      <c r="L9"/>
      <c r="M9"/>
    </row>
    <row r="10" spans="1:14" x14ac:dyDescent="0.15">
      <c r="A10" s="4" t="s">
        <v>46</v>
      </c>
      <c r="B10" s="3"/>
      <c r="C10" s="3"/>
      <c r="E10" s="3"/>
      <c r="F10" s="3"/>
    </row>
    <row r="11" spans="1:14" x14ac:dyDescent="0.15">
      <c r="A11" s="3"/>
      <c r="B11" s="6" t="s">
        <v>53</v>
      </c>
      <c r="C11" s="6">
        <v>5</v>
      </c>
      <c r="E11" s="6">
        <v>4</v>
      </c>
      <c r="F11" s="6" t="s">
        <v>66</v>
      </c>
      <c r="K11" s="6">
        <v>5</v>
      </c>
      <c r="L11" s="6" t="s">
        <v>66</v>
      </c>
    </row>
    <row r="12" spans="1:14" x14ac:dyDescent="0.15">
      <c r="A12" s="3"/>
      <c r="B12" s="6" t="s">
        <v>60</v>
      </c>
      <c r="C12" s="6">
        <v>5</v>
      </c>
      <c r="E12" s="6">
        <v>4</v>
      </c>
      <c r="F12" s="19">
        <v>1</v>
      </c>
      <c r="H12" s="6">
        <v>5</v>
      </c>
      <c r="I12" s="19">
        <v>3</v>
      </c>
      <c r="K12" s="6">
        <v>9</v>
      </c>
      <c r="L12" s="6" t="s">
        <v>66</v>
      </c>
    </row>
    <row r="13" spans="1:14" x14ac:dyDescent="0.15">
      <c r="A13" s="3"/>
      <c r="B13" s="6" t="s">
        <v>58</v>
      </c>
      <c r="C13" s="6">
        <v>4</v>
      </c>
      <c r="E13" s="6">
        <v>3</v>
      </c>
      <c r="F13" s="6" t="s">
        <v>66</v>
      </c>
      <c r="H13" s="6">
        <v>3</v>
      </c>
      <c r="I13" s="19">
        <v>3</v>
      </c>
      <c r="K13" s="6">
        <v>7</v>
      </c>
      <c r="L13" s="6" t="s">
        <v>66</v>
      </c>
    </row>
    <row r="14" spans="1:14" x14ac:dyDescent="0.15">
      <c r="A14" s="3"/>
      <c r="B14" s="6" t="s">
        <v>52</v>
      </c>
      <c r="C14" s="6">
        <v>10</v>
      </c>
      <c r="E14" s="6">
        <v>7</v>
      </c>
      <c r="F14" s="19">
        <v>1</v>
      </c>
      <c r="H14" s="6">
        <v>9</v>
      </c>
      <c r="I14" s="19">
        <v>2</v>
      </c>
      <c r="K14" s="6">
        <v>12</v>
      </c>
      <c r="L14" s="6" t="s">
        <v>66</v>
      </c>
    </row>
    <row r="15" spans="1:14" x14ac:dyDescent="0.15">
      <c r="A15" s="3"/>
      <c r="B15" s="21" t="s">
        <v>61</v>
      </c>
      <c r="C15" s="6">
        <v>8</v>
      </c>
      <c r="E15" s="6">
        <v>3</v>
      </c>
      <c r="F15" s="19">
        <v>5</v>
      </c>
      <c r="H15" s="21">
        <v>9</v>
      </c>
      <c r="I15" s="22">
        <v>5</v>
      </c>
      <c r="K15" s="21">
        <v>20</v>
      </c>
      <c r="L15" s="22">
        <v>4</v>
      </c>
    </row>
    <row r="17" spans="1:12" x14ac:dyDescent="0.15">
      <c r="A17" s="4" t="s">
        <v>44</v>
      </c>
      <c r="B17" s="3"/>
      <c r="C17" s="3"/>
      <c r="E17" s="3"/>
      <c r="F17" s="3"/>
    </row>
    <row r="18" spans="1:12" x14ac:dyDescent="0.15">
      <c r="A18" s="3"/>
      <c r="B18" s="6" t="s">
        <v>72</v>
      </c>
      <c r="C18" s="6">
        <v>2</v>
      </c>
      <c r="E18" s="6"/>
      <c r="F18" s="19">
        <v>2</v>
      </c>
      <c r="K18" s="6">
        <v>2</v>
      </c>
      <c r="L18" s="19">
        <v>1</v>
      </c>
    </row>
    <row r="19" spans="1:12" x14ac:dyDescent="0.15">
      <c r="A19" s="3"/>
      <c r="B19" s="6" t="s">
        <v>48</v>
      </c>
      <c r="C19" s="6">
        <v>2</v>
      </c>
      <c r="E19" s="6">
        <v>1</v>
      </c>
      <c r="F19" s="19">
        <v>1</v>
      </c>
      <c r="L19" s="19">
        <v>1</v>
      </c>
    </row>
    <row r="20" spans="1:12" x14ac:dyDescent="0.15">
      <c r="A20" s="3"/>
      <c r="B20" s="6" t="s">
        <v>54</v>
      </c>
      <c r="C20" s="6">
        <v>3</v>
      </c>
      <c r="E20" s="6">
        <v>2</v>
      </c>
      <c r="F20" s="19">
        <v>1</v>
      </c>
      <c r="K20" s="6">
        <v>3</v>
      </c>
      <c r="L20" s="6" t="s">
        <v>66</v>
      </c>
    </row>
    <row r="21" spans="1:12" x14ac:dyDescent="0.15">
      <c r="A21" s="3"/>
      <c r="B21" s="6" t="s">
        <v>47</v>
      </c>
      <c r="C21" s="6">
        <v>3</v>
      </c>
      <c r="E21" s="6">
        <v>2</v>
      </c>
      <c r="F21" s="19">
        <v>1</v>
      </c>
      <c r="K21" s="6">
        <v>3</v>
      </c>
      <c r="L21" s="19">
        <v>1</v>
      </c>
    </row>
    <row r="22" spans="1:12" x14ac:dyDescent="0.15">
      <c r="A22" s="3"/>
      <c r="B22" s="6" t="s">
        <v>49</v>
      </c>
      <c r="C22" s="6">
        <v>4</v>
      </c>
      <c r="E22" s="6"/>
      <c r="F22" s="20" t="s">
        <v>65</v>
      </c>
      <c r="L22" s="20" t="s">
        <v>65</v>
      </c>
    </row>
    <row r="23" spans="1:12" x14ac:dyDescent="0.15">
      <c r="A23" s="3"/>
      <c r="B23" s="6" t="s">
        <v>55</v>
      </c>
      <c r="C23" s="6">
        <v>3</v>
      </c>
      <c r="E23" s="6"/>
      <c r="F23" s="20" t="s">
        <v>65</v>
      </c>
      <c r="L23" s="20" t="s">
        <v>65</v>
      </c>
    </row>
    <row r="24" spans="1:12" x14ac:dyDescent="0.15">
      <c r="A24" s="3"/>
      <c r="B24" s="6" t="s">
        <v>56</v>
      </c>
      <c r="C24" s="6">
        <v>4</v>
      </c>
      <c r="E24" s="6"/>
      <c r="F24" s="20" t="s">
        <v>65</v>
      </c>
      <c r="L24" s="20" t="s">
        <v>65</v>
      </c>
    </row>
    <row r="25" spans="1:12" x14ac:dyDescent="0.15">
      <c r="A25" s="3"/>
      <c r="B25" s="6" t="s">
        <v>57</v>
      </c>
      <c r="C25" s="6">
        <v>2</v>
      </c>
      <c r="E25" s="6"/>
      <c r="F25" s="20" t="s">
        <v>65</v>
      </c>
      <c r="L25" s="20" t="s">
        <v>65</v>
      </c>
    </row>
    <row r="26" spans="1:12" x14ac:dyDescent="0.15">
      <c r="A26" s="3"/>
      <c r="B26" s="6" t="s">
        <v>51</v>
      </c>
      <c r="C26" s="6">
        <v>4</v>
      </c>
      <c r="E26" s="6"/>
      <c r="F26" s="19">
        <v>4</v>
      </c>
      <c r="L26" s="20" t="s">
        <v>65</v>
      </c>
    </row>
    <row r="27" spans="1:12" x14ac:dyDescent="0.15">
      <c r="A27" s="25"/>
      <c r="B27" s="6" t="s">
        <v>97</v>
      </c>
      <c r="C27" s="25"/>
      <c r="L27" s="19">
        <v>2</v>
      </c>
    </row>
    <row r="28" spans="1:12" x14ac:dyDescent="0.15">
      <c r="A28" s="25"/>
      <c r="B28" s="6" t="s">
        <v>96</v>
      </c>
      <c r="C28" s="25"/>
      <c r="K28" s="6">
        <v>1</v>
      </c>
      <c r="L28" s="19">
        <v>2</v>
      </c>
    </row>
    <row r="29" spans="1:12" x14ac:dyDescent="0.15">
      <c r="A29" s="25"/>
      <c r="B29" s="6" t="s">
        <v>98</v>
      </c>
      <c r="C29" s="25"/>
      <c r="L29" s="19">
        <v>1</v>
      </c>
    </row>
    <row r="30" spans="1:12" x14ac:dyDescent="0.15">
      <c r="A30" s="25"/>
      <c r="B30" s="6" t="s">
        <v>104</v>
      </c>
      <c r="C30" s="25"/>
      <c r="L30" s="19">
        <v>1</v>
      </c>
    </row>
    <row r="31" spans="1:12" x14ac:dyDescent="0.15">
      <c r="A31" s="25"/>
      <c r="B31" s="6" t="s">
        <v>83</v>
      </c>
      <c r="C31" s="25"/>
      <c r="L31" s="19">
        <v>1</v>
      </c>
    </row>
    <row r="33" spans="1:12" x14ac:dyDescent="0.15">
      <c r="A33" s="4" t="s">
        <v>45</v>
      </c>
      <c r="B33" s="3"/>
      <c r="C33" s="3"/>
      <c r="E33" s="3"/>
      <c r="F33" s="3"/>
    </row>
    <row r="34" spans="1:12" x14ac:dyDescent="0.15">
      <c r="A34" s="3"/>
      <c r="B34" s="6" t="s">
        <v>29</v>
      </c>
      <c r="C34" s="6">
        <v>3</v>
      </c>
      <c r="E34" s="6">
        <v>3</v>
      </c>
      <c r="F34" s="19">
        <v>1</v>
      </c>
      <c r="H34" s="21">
        <v>5</v>
      </c>
      <c r="I34" s="22">
        <v>1</v>
      </c>
      <c r="K34" s="6">
        <v>5</v>
      </c>
      <c r="L34" s="19">
        <v>1</v>
      </c>
    </row>
    <row r="35" spans="1:12" x14ac:dyDescent="0.15">
      <c r="A35" s="3"/>
      <c r="B35" s="6" t="s">
        <v>15</v>
      </c>
      <c r="C35" s="6">
        <v>2</v>
      </c>
      <c r="E35" s="6">
        <v>2</v>
      </c>
      <c r="F35" s="19">
        <v>2</v>
      </c>
      <c r="K35" s="6">
        <v>3</v>
      </c>
      <c r="L35" s="19">
        <v>1</v>
      </c>
    </row>
    <row r="36" spans="1:12" x14ac:dyDescent="0.15">
      <c r="A36" s="3"/>
      <c r="B36" s="6" t="s">
        <v>63</v>
      </c>
      <c r="C36" s="6">
        <v>3</v>
      </c>
      <c r="E36" s="6">
        <v>1</v>
      </c>
      <c r="F36" s="19">
        <v>2</v>
      </c>
      <c r="H36" s="6">
        <v>5</v>
      </c>
      <c r="I36" s="19">
        <v>1</v>
      </c>
      <c r="K36" s="6">
        <v>7</v>
      </c>
      <c r="L36" s="19">
        <v>1</v>
      </c>
    </row>
    <row r="37" spans="1:12" x14ac:dyDescent="0.15">
      <c r="A37" s="3"/>
      <c r="B37" s="6" t="s">
        <v>64</v>
      </c>
      <c r="C37" s="6">
        <v>2</v>
      </c>
      <c r="E37" s="6">
        <v>1</v>
      </c>
      <c r="F37" s="19">
        <v>2</v>
      </c>
      <c r="K37" s="6">
        <v>1</v>
      </c>
      <c r="L37" s="18" t="s">
        <v>75</v>
      </c>
    </row>
    <row r="38" spans="1:12" x14ac:dyDescent="0.15">
      <c r="A38" s="3"/>
      <c r="B38" s="13" t="s">
        <v>67</v>
      </c>
      <c r="C38" s="13">
        <v>4</v>
      </c>
      <c r="E38" s="13"/>
      <c r="F38" s="18">
        <v>4</v>
      </c>
      <c r="H38" s="18" t="s">
        <v>75</v>
      </c>
      <c r="I38" s="18" t="s">
        <v>75</v>
      </c>
      <c r="K38" s="18" t="s">
        <v>75</v>
      </c>
      <c r="L38" s="18" t="s">
        <v>75</v>
      </c>
    </row>
    <row r="39" spans="1:12" x14ac:dyDescent="0.15">
      <c r="A39" s="3"/>
      <c r="B39" s="13" t="s">
        <v>71</v>
      </c>
      <c r="C39" s="13">
        <v>4</v>
      </c>
      <c r="E39" s="13"/>
      <c r="F39" s="18">
        <v>4</v>
      </c>
      <c r="H39" s="18" t="s">
        <v>75</v>
      </c>
      <c r="I39" s="18" t="s">
        <v>75</v>
      </c>
      <c r="K39" s="18" t="s">
        <v>75</v>
      </c>
      <c r="L39" s="18" t="s">
        <v>75</v>
      </c>
    </row>
    <row r="40" spans="1:12" x14ac:dyDescent="0.15">
      <c r="A40" s="3"/>
      <c r="B40" s="6" t="s">
        <v>70</v>
      </c>
      <c r="C40" s="6">
        <v>4</v>
      </c>
      <c r="E40" s="6"/>
      <c r="F40" s="20" t="s">
        <v>65</v>
      </c>
      <c r="L40" s="20" t="s">
        <v>65</v>
      </c>
    </row>
    <row r="41" spans="1:12" x14ac:dyDescent="0.15">
      <c r="A41" s="3"/>
      <c r="B41" s="6" t="s">
        <v>14</v>
      </c>
      <c r="C41" s="6">
        <v>4</v>
      </c>
      <c r="E41" s="6">
        <v>4</v>
      </c>
      <c r="F41" s="19">
        <v>2</v>
      </c>
      <c r="K41" s="6">
        <v>5</v>
      </c>
      <c r="L41" s="6" t="s">
        <v>66</v>
      </c>
    </row>
    <row r="42" spans="1:12" x14ac:dyDescent="0.15">
      <c r="A42" s="3"/>
      <c r="B42" s="6" t="s">
        <v>62</v>
      </c>
      <c r="C42" s="6">
        <v>4</v>
      </c>
      <c r="E42" s="6">
        <v>4</v>
      </c>
      <c r="F42" s="19">
        <v>2</v>
      </c>
      <c r="K42" s="6">
        <v>2</v>
      </c>
      <c r="L42" s="6" t="s">
        <v>66</v>
      </c>
    </row>
    <row r="43" spans="1:12" x14ac:dyDescent="0.15">
      <c r="A43" s="3"/>
      <c r="B43" s="6" t="s">
        <v>42</v>
      </c>
      <c r="C43" s="6">
        <v>2</v>
      </c>
      <c r="E43" s="6">
        <v>2</v>
      </c>
      <c r="F43" s="19">
        <v>2</v>
      </c>
      <c r="K43" s="6">
        <v>3</v>
      </c>
      <c r="L43" s="6" t="s">
        <v>66</v>
      </c>
    </row>
    <row r="44" spans="1:12" x14ac:dyDescent="0.15">
      <c r="A44" s="3"/>
      <c r="B44" s="6" t="s">
        <v>40</v>
      </c>
      <c r="C44" s="6">
        <v>4</v>
      </c>
      <c r="E44" s="6"/>
      <c r="F44" s="19">
        <v>4</v>
      </c>
      <c r="K44" s="6">
        <v>1</v>
      </c>
      <c r="L44" s="19">
        <v>1</v>
      </c>
    </row>
    <row r="45" spans="1:12" x14ac:dyDescent="0.15">
      <c r="A45" s="3"/>
      <c r="B45" s="21" t="s">
        <v>50</v>
      </c>
      <c r="C45" s="6">
        <v>4</v>
      </c>
      <c r="E45" s="6"/>
      <c r="F45" s="19">
        <v>4</v>
      </c>
      <c r="L45" s="20" t="s">
        <v>65</v>
      </c>
    </row>
    <row r="46" spans="1:12" x14ac:dyDescent="0.15">
      <c r="A46" s="3"/>
      <c r="B46" s="21" t="s">
        <v>73</v>
      </c>
      <c r="C46" s="6">
        <v>5</v>
      </c>
      <c r="E46" s="6"/>
      <c r="F46" s="19">
        <v>5</v>
      </c>
      <c r="L46" s="20" t="s">
        <v>65</v>
      </c>
    </row>
    <row r="47" spans="1:12" x14ac:dyDescent="0.15">
      <c r="A47" s="3"/>
      <c r="B47" s="6" t="s">
        <v>74</v>
      </c>
      <c r="C47" s="6">
        <v>10</v>
      </c>
      <c r="E47" s="6"/>
      <c r="F47" s="20" t="s">
        <v>65</v>
      </c>
      <c r="H47" s="6">
        <v>1</v>
      </c>
      <c r="I47" s="20" t="s">
        <v>65</v>
      </c>
      <c r="K47" s="6">
        <v>1</v>
      </c>
      <c r="L47" s="20" t="s">
        <v>65</v>
      </c>
    </row>
    <row r="48" spans="1:12" x14ac:dyDescent="0.15">
      <c r="A48" s="3"/>
      <c r="B48" s="21" t="s">
        <v>68</v>
      </c>
      <c r="C48" s="6">
        <v>6</v>
      </c>
      <c r="E48" s="6">
        <v>2</v>
      </c>
      <c r="F48" s="20" t="s">
        <v>65</v>
      </c>
      <c r="K48" s="21">
        <v>2</v>
      </c>
      <c r="L48" s="31" t="s">
        <v>108</v>
      </c>
    </row>
    <row r="49" spans="1:12" x14ac:dyDescent="0.15">
      <c r="A49" s="3"/>
      <c r="B49" s="21" t="s">
        <v>69</v>
      </c>
      <c r="C49" s="6">
        <v>10</v>
      </c>
      <c r="E49" s="6"/>
      <c r="F49" s="20" t="s">
        <v>65</v>
      </c>
      <c r="L49" s="31" t="s">
        <v>108</v>
      </c>
    </row>
    <row r="50" spans="1:12" x14ac:dyDescent="0.15">
      <c r="A50" s="25"/>
      <c r="B50" s="6" t="s">
        <v>80</v>
      </c>
      <c r="C50" s="25"/>
      <c r="K50" s="6">
        <v>1</v>
      </c>
      <c r="L50" s="19">
        <v>2</v>
      </c>
    </row>
    <row r="51" spans="1:12" x14ac:dyDescent="0.15">
      <c r="A51" s="25"/>
      <c r="B51" s="6" t="s">
        <v>87</v>
      </c>
      <c r="C51" s="25"/>
      <c r="K51" s="21">
        <v>5</v>
      </c>
      <c r="L51" s="22">
        <v>2</v>
      </c>
    </row>
    <row r="52" spans="1:12" x14ac:dyDescent="0.15">
      <c r="A52" s="25"/>
      <c r="B52" s="6" t="s">
        <v>81</v>
      </c>
      <c r="C52" s="25"/>
      <c r="K52" s="6">
        <v>1</v>
      </c>
      <c r="L52" s="19">
        <v>2</v>
      </c>
    </row>
    <row r="53" spans="1:12" x14ac:dyDescent="0.15">
      <c r="A53" s="25"/>
      <c r="B53" s="6" t="s">
        <v>107</v>
      </c>
      <c r="C53" s="25"/>
      <c r="K53" s="6">
        <v>1</v>
      </c>
      <c r="L53" s="20" t="s">
        <v>65</v>
      </c>
    </row>
    <row r="54" spans="1:12" x14ac:dyDescent="0.15">
      <c r="A54" s="25"/>
      <c r="B54" s="6" t="s">
        <v>99</v>
      </c>
      <c r="C54" s="25"/>
      <c r="L54" s="20" t="s">
        <v>65</v>
      </c>
    </row>
    <row r="55" spans="1:12" x14ac:dyDescent="0.15">
      <c r="A55" s="25"/>
      <c r="B55" s="6" t="s">
        <v>82</v>
      </c>
      <c r="C55" s="25"/>
      <c r="L55" s="20" t="s">
        <v>65</v>
      </c>
    </row>
    <row r="57" spans="1:12" x14ac:dyDescent="0.15">
      <c r="A57" s="26" t="s">
        <v>85</v>
      </c>
      <c r="B57" s="3"/>
      <c r="C57" s="3"/>
      <c r="E57" s="3"/>
      <c r="F57" s="3"/>
    </row>
    <row r="58" spans="1:12" x14ac:dyDescent="0.15">
      <c r="A58" s="25"/>
      <c r="B58" s="28" t="s">
        <v>102</v>
      </c>
      <c r="C58" s="25"/>
      <c r="L58" s="27" t="s">
        <v>75</v>
      </c>
    </row>
    <row r="59" spans="1:12" x14ac:dyDescent="0.15">
      <c r="A59" s="25"/>
      <c r="B59" s="28" t="s">
        <v>86</v>
      </c>
      <c r="C59" s="25"/>
      <c r="L59" s="27" t="s">
        <v>75</v>
      </c>
    </row>
    <row r="61" spans="1:12" x14ac:dyDescent="0.15">
      <c r="A61" s="4" t="s">
        <v>16</v>
      </c>
      <c r="B61" s="3"/>
      <c r="C61" s="3"/>
      <c r="E61" s="3"/>
      <c r="F61" s="3"/>
    </row>
    <row r="62" spans="1:12" x14ac:dyDescent="0.15">
      <c r="A62" s="3"/>
      <c r="B62" s="6" t="s">
        <v>8</v>
      </c>
      <c r="C62" s="6">
        <v>2</v>
      </c>
      <c r="E62" s="6">
        <v>1</v>
      </c>
      <c r="F62" s="6" t="s">
        <v>66</v>
      </c>
      <c r="L62" s="6" t="s">
        <v>66</v>
      </c>
    </row>
    <row r="63" spans="1:12" x14ac:dyDescent="0.15">
      <c r="A63" s="3"/>
      <c r="B63" s="6" t="s">
        <v>12</v>
      </c>
      <c r="C63" s="6">
        <v>3</v>
      </c>
      <c r="E63" s="6">
        <v>1</v>
      </c>
      <c r="F63" s="6" t="s">
        <v>66</v>
      </c>
      <c r="K63" s="6">
        <v>2</v>
      </c>
      <c r="L63" s="6" t="s">
        <v>66</v>
      </c>
    </row>
    <row r="64" spans="1:12" x14ac:dyDescent="0.15">
      <c r="A64" s="3"/>
      <c r="B64" s="6" t="s">
        <v>11</v>
      </c>
      <c r="C64" s="6">
        <v>5</v>
      </c>
      <c r="E64" s="6">
        <v>2</v>
      </c>
      <c r="F64" s="19">
        <v>3</v>
      </c>
      <c r="H64" s="6">
        <v>7</v>
      </c>
      <c r="I64" s="19">
        <v>2</v>
      </c>
      <c r="K64" s="6">
        <v>9</v>
      </c>
      <c r="L64" s="19">
        <v>2</v>
      </c>
    </row>
    <row r="65" spans="1:12" x14ac:dyDescent="0.15">
      <c r="A65" s="3"/>
      <c r="B65" s="6" t="s">
        <v>9</v>
      </c>
      <c r="C65" s="6">
        <v>7</v>
      </c>
      <c r="E65" s="6"/>
      <c r="F65" s="19">
        <v>7</v>
      </c>
      <c r="K65" s="6">
        <v>3</v>
      </c>
      <c r="L65" s="19">
        <v>4</v>
      </c>
    </row>
    <row r="66" spans="1:12" x14ac:dyDescent="0.15">
      <c r="A66" s="3"/>
      <c r="B66" s="6" t="s">
        <v>84</v>
      </c>
      <c r="C66" s="6">
        <v>5</v>
      </c>
      <c r="E66" s="6"/>
      <c r="F66" s="19">
        <v>5</v>
      </c>
      <c r="L66" s="19">
        <v>5</v>
      </c>
    </row>
    <row r="67" spans="1:12" x14ac:dyDescent="0.15">
      <c r="A67" s="3"/>
      <c r="B67" s="6" t="s">
        <v>10</v>
      </c>
      <c r="C67" s="6">
        <v>5</v>
      </c>
      <c r="E67" s="6"/>
      <c r="F67" s="19">
        <v>5</v>
      </c>
      <c r="L67" s="19">
        <v>5</v>
      </c>
    </row>
    <row r="68" spans="1:12" x14ac:dyDescent="0.15">
      <c r="A68" s="25"/>
      <c r="B68" s="6" t="s">
        <v>88</v>
      </c>
      <c r="C68" s="25"/>
      <c r="L68" s="19">
        <v>2</v>
      </c>
    </row>
    <row r="71" spans="1:12" x14ac:dyDescent="0.15">
      <c r="A71" s="4" t="s">
        <v>59</v>
      </c>
      <c r="B71" s="3"/>
      <c r="C71" s="3"/>
      <c r="E71" s="3"/>
      <c r="F71" s="3"/>
    </row>
    <row r="72" spans="1:12" x14ac:dyDescent="0.15">
      <c r="A72" s="25"/>
      <c r="B72" s="6" t="s">
        <v>89</v>
      </c>
      <c r="C72" s="25"/>
      <c r="L72" s="19">
        <v>1</v>
      </c>
    </row>
    <row r="73" spans="1:12" x14ac:dyDescent="0.15">
      <c r="A73" s="25"/>
      <c r="B73" s="6" t="s">
        <v>90</v>
      </c>
      <c r="C73" s="25"/>
      <c r="L73" s="19">
        <v>1</v>
      </c>
    </row>
    <row r="74" spans="1:12" x14ac:dyDescent="0.15">
      <c r="A74" s="25"/>
      <c r="B74" s="6" t="s">
        <v>91</v>
      </c>
      <c r="C74" s="25"/>
      <c r="L74" s="19">
        <v>2</v>
      </c>
    </row>
    <row r="75" spans="1:12" x14ac:dyDescent="0.15">
      <c r="A75" s="25"/>
      <c r="B75" s="6" t="s">
        <v>92</v>
      </c>
      <c r="C75" s="25"/>
      <c r="L75" s="19">
        <v>2</v>
      </c>
    </row>
    <row r="76" spans="1:12" x14ac:dyDescent="0.15">
      <c r="A76" s="3"/>
      <c r="B76" s="3"/>
      <c r="C76" s="3"/>
      <c r="E76" s="3"/>
      <c r="F76" s="3"/>
    </row>
    <row r="77" spans="1:12" x14ac:dyDescent="0.15">
      <c r="A77" s="4" t="s">
        <v>93</v>
      </c>
      <c r="B77" s="9" t="s">
        <v>1</v>
      </c>
      <c r="C77" s="9">
        <v>1</v>
      </c>
      <c r="E77" s="6">
        <v>1</v>
      </c>
      <c r="F77" s="6" t="s">
        <v>66</v>
      </c>
      <c r="L77" s="6" t="s">
        <v>66</v>
      </c>
    </row>
    <row r="78" spans="1:12" x14ac:dyDescent="0.15">
      <c r="A78" s="3"/>
      <c r="B78" s="9" t="s">
        <v>33</v>
      </c>
      <c r="C78" s="9">
        <v>1</v>
      </c>
      <c r="E78" s="6">
        <v>1</v>
      </c>
      <c r="F78" s="6" t="s">
        <v>66</v>
      </c>
      <c r="L78" s="6" t="s">
        <v>66</v>
      </c>
    </row>
    <row r="79" spans="1:12" x14ac:dyDescent="0.15">
      <c r="A79" s="3"/>
      <c r="B79" s="7" t="s">
        <v>5</v>
      </c>
      <c r="C79" s="6">
        <v>1</v>
      </c>
      <c r="E79" s="6"/>
      <c r="F79" s="19">
        <v>1</v>
      </c>
      <c r="L79" s="6" t="s">
        <v>66</v>
      </c>
    </row>
    <row r="80" spans="1:12" x14ac:dyDescent="0.15">
      <c r="A80" s="3"/>
    </row>
    <row r="81" spans="1:14" x14ac:dyDescent="0.15">
      <c r="A81" s="4" t="s">
        <v>78</v>
      </c>
      <c r="B81" s="6" t="s">
        <v>37</v>
      </c>
      <c r="C81" s="6">
        <v>2</v>
      </c>
      <c r="E81" s="6">
        <v>1</v>
      </c>
      <c r="F81" s="6" t="s">
        <v>66</v>
      </c>
      <c r="H81" s="6">
        <v>1</v>
      </c>
      <c r="I81" s="6">
        <v>1</v>
      </c>
      <c r="K81" s="6">
        <v>1</v>
      </c>
      <c r="L81" s="6" t="s">
        <v>66</v>
      </c>
    </row>
    <row r="82" spans="1:14" x14ac:dyDescent="0.15">
      <c r="A82" s="3"/>
      <c r="B82" s="9" t="s">
        <v>34</v>
      </c>
      <c r="C82" s="9">
        <v>1</v>
      </c>
      <c r="E82" s="6">
        <v>1</v>
      </c>
      <c r="F82" s="6" t="s">
        <v>66</v>
      </c>
      <c r="L82" s="6" t="s">
        <v>66</v>
      </c>
    </row>
    <row r="83" spans="1:14" x14ac:dyDescent="0.15">
      <c r="A83" s="3"/>
      <c r="B83" s="10" t="s">
        <v>4</v>
      </c>
      <c r="C83" s="9">
        <v>1</v>
      </c>
      <c r="E83" s="6">
        <v>1</v>
      </c>
      <c r="F83" s="6" t="s">
        <v>66</v>
      </c>
      <c r="L83" s="6" t="s">
        <v>66</v>
      </c>
    </row>
    <row r="84" spans="1:14" x14ac:dyDescent="0.15">
      <c r="A84" s="3"/>
      <c r="B84" s="9" t="s">
        <v>6</v>
      </c>
      <c r="C84" s="9">
        <v>1</v>
      </c>
      <c r="E84" s="9"/>
      <c r="F84" s="9">
        <v>1</v>
      </c>
      <c r="L84" s="6" t="s">
        <v>66</v>
      </c>
    </row>
    <row r="85" spans="1:14" x14ac:dyDescent="0.15">
      <c r="A85" s="3"/>
      <c r="B85" s="9" t="s">
        <v>0</v>
      </c>
      <c r="C85" s="9">
        <v>1</v>
      </c>
      <c r="E85" s="9"/>
      <c r="F85" s="9">
        <v>1</v>
      </c>
      <c r="N85" s="9">
        <v>1</v>
      </c>
    </row>
    <row r="86" spans="1:14" x14ac:dyDescent="0.15">
      <c r="A86" s="3"/>
      <c r="B86" s="11" t="s">
        <v>35</v>
      </c>
      <c r="C86" s="9">
        <v>1</v>
      </c>
      <c r="E86" s="9"/>
      <c r="F86" s="9">
        <v>1</v>
      </c>
      <c r="K86" s="6">
        <v>1</v>
      </c>
      <c r="L86" s="6" t="s">
        <v>66</v>
      </c>
    </row>
    <row r="87" spans="1:14" x14ac:dyDescent="0.15">
      <c r="A87" s="3"/>
      <c r="B87" s="11" t="s">
        <v>36</v>
      </c>
      <c r="C87" s="9">
        <v>1</v>
      </c>
      <c r="E87" s="9"/>
      <c r="F87" s="9">
        <v>1</v>
      </c>
      <c r="G87">
        <f>SUM(F84:F87)</f>
        <v>4</v>
      </c>
      <c r="L87" s="6" t="s">
        <v>66</v>
      </c>
    </row>
    <row r="88" spans="1:14" x14ac:dyDescent="0.15">
      <c r="A88" s="3"/>
    </row>
    <row r="89" spans="1:14" x14ac:dyDescent="0.15">
      <c r="A89" s="23" t="s">
        <v>100</v>
      </c>
      <c r="B89" s="20" t="s">
        <v>37</v>
      </c>
      <c r="C89" s="20">
        <v>2</v>
      </c>
      <c r="L89" s="6" t="s">
        <v>66</v>
      </c>
    </row>
    <row r="90" spans="1:14" x14ac:dyDescent="0.15">
      <c r="A90" s="24"/>
      <c r="B90" s="29" t="s">
        <v>34</v>
      </c>
      <c r="C90" s="29">
        <v>1</v>
      </c>
      <c r="L90" s="6" t="s">
        <v>66</v>
      </c>
    </row>
    <row r="91" spans="1:14" x14ac:dyDescent="0.15">
      <c r="A91" s="24"/>
      <c r="B91" s="30" t="s">
        <v>4</v>
      </c>
      <c r="C91" s="29">
        <v>1</v>
      </c>
      <c r="L91" s="6" t="s">
        <v>66</v>
      </c>
    </row>
    <row r="92" spans="1:14" x14ac:dyDescent="0.15">
      <c r="A92" s="24"/>
      <c r="B92" s="29" t="s">
        <v>6</v>
      </c>
      <c r="C92" s="29">
        <v>1</v>
      </c>
      <c r="L92" s="6" t="s">
        <v>66</v>
      </c>
    </row>
    <row r="93" spans="1:14" x14ac:dyDescent="0.15">
      <c r="A93" s="24"/>
      <c r="B93" s="29" t="s">
        <v>0</v>
      </c>
      <c r="C93" s="29">
        <v>1</v>
      </c>
    </row>
    <row r="94" spans="1:14" x14ac:dyDescent="0.15">
      <c r="A94" s="24"/>
      <c r="B94" s="11" t="s">
        <v>35</v>
      </c>
      <c r="C94" s="29">
        <v>1</v>
      </c>
      <c r="L94" s="6" t="s">
        <v>66</v>
      </c>
    </row>
    <row r="95" spans="1:14" x14ac:dyDescent="0.15">
      <c r="A95" s="24"/>
      <c r="B95" s="11" t="s">
        <v>36</v>
      </c>
      <c r="C95" s="29">
        <v>1</v>
      </c>
      <c r="H95" s="6">
        <v>1</v>
      </c>
      <c r="I95" s="6">
        <v>1</v>
      </c>
      <c r="L95" s="6" t="s">
        <v>66</v>
      </c>
    </row>
    <row r="96" spans="1:14" x14ac:dyDescent="0.15">
      <c r="A96" s="3"/>
    </row>
    <row r="97" spans="1:14" x14ac:dyDescent="0.15">
      <c r="A97" s="4" t="s">
        <v>76</v>
      </c>
      <c r="B97" s="6" t="s">
        <v>37</v>
      </c>
      <c r="C97" s="6">
        <v>2</v>
      </c>
      <c r="F97" s="6">
        <v>2</v>
      </c>
      <c r="L97" s="6" t="s">
        <v>66</v>
      </c>
    </row>
    <row r="98" spans="1:14" x14ac:dyDescent="0.15">
      <c r="A98" s="3"/>
      <c r="B98" s="13" t="s">
        <v>34</v>
      </c>
      <c r="C98" s="13">
        <v>2</v>
      </c>
      <c r="F98" s="13">
        <v>2</v>
      </c>
      <c r="N98" s="13">
        <v>2</v>
      </c>
    </row>
    <row r="99" spans="1:14" x14ac:dyDescent="0.15">
      <c r="A99" s="3"/>
      <c r="B99" s="14" t="s">
        <v>4</v>
      </c>
      <c r="C99" s="13">
        <v>2</v>
      </c>
      <c r="F99" s="13">
        <v>2</v>
      </c>
      <c r="N99" s="13">
        <v>2</v>
      </c>
    </row>
    <row r="100" spans="1:14" x14ac:dyDescent="0.15">
      <c r="A100" s="3"/>
      <c r="B100" s="13" t="s">
        <v>13</v>
      </c>
      <c r="C100" s="13">
        <v>2</v>
      </c>
      <c r="F100" s="13">
        <v>2</v>
      </c>
      <c r="N100" s="13">
        <v>2</v>
      </c>
    </row>
    <row r="101" spans="1:14" x14ac:dyDescent="0.15">
      <c r="A101" s="3"/>
      <c r="B101" s="13" t="s">
        <v>0</v>
      </c>
      <c r="C101" s="13">
        <v>2</v>
      </c>
      <c r="F101" s="13">
        <v>2</v>
      </c>
      <c r="N101" s="13">
        <v>2</v>
      </c>
    </row>
    <row r="102" spans="1:14" x14ac:dyDescent="0.15">
      <c r="A102" s="3"/>
      <c r="B102" s="12" t="s">
        <v>35</v>
      </c>
      <c r="C102" s="13">
        <v>1</v>
      </c>
      <c r="F102" s="13">
        <v>1</v>
      </c>
      <c r="N102" s="13">
        <v>1</v>
      </c>
    </row>
    <row r="103" spans="1:14" x14ac:dyDescent="0.15">
      <c r="A103" s="3"/>
      <c r="B103" s="12" t="s">
        <v>36</v>
      </c>
      <c r="C103" s="13">
        <v>1</v>
      </c>
      <c r="F103" s="13">
        <v>1</v>
      </c>
      <c r="G103">
        <f>SUM(F98:F103)</f>
        <v>10</v>
      </c>
      <c r="N103" s="13">
        <v>1</v>
      </c>
    </row>
    <row r="104" spans="1:14" x14ac:dyDescent="0.15">
      <c r="A104" s="3"/>
    </row>
    <row r="105" spans="1:14" x14ac:dyDescent="0.15">
      <c r="A105" s="4" t="s">
        <v>38</v>
      </c>
      <c r="B105" s="6" t="s">
        <v>37</v>
      </c>
      <c r="C105" s="6">
        <v>2</v>
      </c>
      <c r="F105" s="6">
        <v>2</v>
      </c>
      <c r="L105" s="6" t="s">
        <v>66</v>
      </c>
    </row>
    <row r="106" spans="1:14" x14ac:dyDescent="0.15">
      <c r="A106" s="3"/>
      <c r="B106" s="13" t="s">
        <v>34</v>
      </c>
      <c r="C106" s="13">
        <v>1</v>
      </c>
      <c r="F106" s="13">
        <v>1</v>
      </c>
      <c r="L106" s="6" t="s">
        <v>66</v>
      </c>
    </row>
    <row r="107" spans="1:14" x14ac:dyDescent="0.15">
      <c r="A107" s="3"/>
      <c r="B107" s="14" t="s">
        <v>4</v>
      </c>
      <c r="C107" s="13">
        <v>1</v>
      </c>
      <c r="F107" s="13">
        <v>1</v>
      </c>
      <c r="N107" s="13">
        <v>1</v>
      </c>
    </row>
    <row r="108" spans="1:14" x14ac:dyDescent="0.15">
      <c r="A108" s="3"/>
      <c r="B108" s="13" t="s">
        <v>13</v>
      </c>
      <c r="C108" s="13">
        <v>1</v>
      </c>
      <c r="F108" s="13">
        <v>1</v>
      </c>
      <c r="N108" s="13">
        <v>1</v>
      </c>
    </row>
    <row r="109" spans="1:14" x14ac:dyDescent="0.15">
      <c r="A109" s="3"/>
      <c r="B109" s="13" t="s">
        <v>0</v>
      </c>
      <c r="C109" s="13">
        <v>1</v>
      </c>
      <c r="F109" s="13">
        <v>1</v>
      </c>
      <c r="N109" s="13">
        <v>1</v>
      </c>
    </row>
    <row r="110" spans="1:14" x14ac:dyDescent="0.15">
      <c r="A110" s="3"/>
      <c r="B110" s="12" t="s">
        <v>35</v>
      </c>
      <c r="C110" s="13">
        <v>1</v>
      </c>
      <c r="F110" s="13">
        <v>1</v>
      </c>
      <c r="N110" s="13">
        <v>1</v>
      </c>
    </row>
    <row r="111" spans="1:14" x14ac:dyDescent="0.15">
      <c r="A111" s="3"/>
      <c r="B111" s="12" t="s">
        <v>36</v>
      </c>
      <c r="C111" s="13">
        <v>1</v>
      </c>
      <c r="F111" s="13">
        <v>1</v>
      </c>
      <c r="G111">
        <f>SUM(F106:F111)</f>
        <v>6</v>
      </c>
      <c r="N111" s="13">
        <v>1</v>
      </c>
    </row>
    <row r="112" spans="1:14" x14ac:dyDescent="0.15">
      <c r="A112" s="3"/>
    </row>
    <row r="113" spans="1:14" x14ac:dyDescent="0.15">
      <c r="A113" s="4" t="s">
        <v>77</v>
      </c>
      <c r="B113" s="6" t="s">
        <v>37</v>
      </c>
      <c r="C113" s="6">
        <v>2</v>
      </c>
      <c r="E113" s="6">
        <v>1</v>
      </c>
      <c r="F113" s="6" t="s">
        <v>66</v>
      </c>
      <c r="K113" s="6">
        <v>1</v>
      </c>
      <c r="L113" s="6" t="s">
        <v>66</v>
      </c>
    </row>
    <row r="114" spans="1:14" x14ac:dyDescent="0.15">
      <c r="A114" s="3"/>
      <c r="B114" s="9" t="s">
        <v>34</v>
      </c>
      <c r="C114" s="9">
        <v>1</v>
      </c>
      <c r="E114" s="6">
        <v>1</v>
      </c>
      <c r="F114" s="6" t="s">
        <v>66</v>
      </c>
      <c r="K114" s="6">
        <v>1</v>
      </c>
      <c r="L114" s="6" t="s">
        <v>66</v>
      </c>
    </row>
    <row r="115" spans="1:14" x14ac:dyDescent="0.15">
      <c r="A115" s="3"/>
      <c r="B115" s="10" t="s">
        <v>4</v>
      </c>
      <c r="C115" s="9">
        <v>1</v>
      </c>
      <c r="F115" s="9">
        <v>1</v>
      </c>
      <c r="L115" s="6" t="s">
        <v>66</v>
      </c>
    </row>
    <row r="116" spans="1:14" x14ac:dyDescent="0.15">
      <c r="A116" s="3"/>
      <c r="B116" s="9" t="s">
        <v>13</v>
      </c>
      <c r="C116" s="9">
        <v>2</v>
      </c>
      <c r="F116" s="9">
        <v>2</v>
      </c>
    </row>
    <row r="117" spans="1:14" x14ac:dyDescent="0.15">
      <c r="A117" s="3"/>
      <c r="B117" s="9" t="s">
        <v>0</v>
      </c>
      <c r="C117" s="9">
        <v>1</v>
      </c>
      <c r="F117" s="9">
        <v>1</v>
      </c>
    </row>
    <row r="118" spans="1:14" x14ac:dyDescent="0.15">
      <c r="A118" s="3"/>
      <c r="B118" s="11" t="s">
        <v>35</v>
      </c>
      <c r="C118" s="9">
        <v>1</v>
      </c>
      <c r="F118" s="9">
        <v>1</v>
      </c>
    </row>
    <row r="119" spans="1:14" x14ac:dyDescent="0.15">
      <c r="A119" s="3"/>
      <c r="B119" s="11" t="s">
        <v>36</v>
      </c>
      <c r="C119" s="9">
        <v>1</v>
      </c>
      <c r="F119" s="9">
        <v>1</v>
      </c>
      <c r="G119">
        <f>SUM(F115:F119)</f>
        <v>6</v>
      </c>
    </row>
    <row r="120" spans="1:14" x14ac:dyDescent="0.15">
      <c r="A120" s="3"/>
      <c r="B120" s="7" t="s">
        <v>7</v>
      </c>
      <c r="C120" s="6">
        <v>2</v>
      </c>
      <c r="E120" s="6"/>
      <c r="F120" s="6">
        <v>2</v>
      </c>
      <c r="L120" s="6">
        <v>2</v>
      </c>
    </row>
    <row r="121" spans="1:14" x14ac:dyDescent="0.15">
      <c r="A121" s="3"/>
    </row>
    <row r="122" spans="1:14" x14ac:dyDescent="0.15">
      <c r="A122" s="23" t="s">
        <v>101</v>
      </c>
      <c r="B122" s="6" t="s">
        <v>37</v>
      </c>
      <c r="C122" s="6">
        <v>2</v>
      </c>
      <c r="F122" s="6">
        <v>2</v>
      </c>
      <c r="L122" s="6" t="s">
        <v>66</v>
      </c>
    </row>
    <row r="123" spans="1:14" x14ac:dyDescent="0.15">
      <c r="A123" s="3"/>
      <c r="B123" s="9" t="s">
        <v>34</v>
      </c>
      <c r="C123" s="9">
        <v>1</v>
      </c>
      <c r="F123" s="9">
        <v>1</v>
      </c>
      <c r="L123" s="6" t="s">
        <v>66</v>
      </c>
    </row>
    <row r="124" spans="1:14" x14ac:dyDescent="0.15">
      <c r="A124" s="3"/>
      <c r="B124" s="9" t="s">
        <v>26</v>
      </c>
      <c r="C124" s="9">
        <v>1</v>
      </c>
      <c r="F124" s="9">
        <v>1</v>
      </c>
      <c r="N124" s="9">
        <v>1</v>
      </c>
    </row>
    <row r="125" spans="1:14" x14ac:dyDescent="0.15">
      <c r="A125" s="3"/>
      <c r="B125" s="9" t="s">
        <v>2</v>
      </c>
      <c r="C125" s="9">
        <v>1</v>
      </c>
      <c r="F125" s="9">
        <v>1</v>
      </c>
      <c r="N125" s="9">
        <v>1</v>
      </c>
    </row>
    <row r="126" spans="1:14" x14ac:dyDescent="0.15">
      <c r="A126" s="3"/>
      <c r="B126" s="9" t="s">
        <v>22</v>
      </c>
      <c r="C126" s="9">
        <v>1</v>
      </c>
      <c r="F126" s="9">
        <v>1</v>
      </c>
      <c r="N126" s="9">
        <v>1</v>
      </c>
    </row>
    <row r="127" spans="1:14" x14ac:dyDescent="0.15">
      <c r="A127" s="3"/>
      <c r="B127" s="9" t="s">
        <v>23</v>
      </c>
      <c r="C127" s="9">
        <v>1</v>
      </c>
      <c r="F127" s="9">
        <v>1</v>
      </c>
      <c r="N127" s="9">
        <v>1</v>
      </c>
    </row>
    <row r="128" spans="1:14" x14ac:dyDescent="0.15">
      <c r="A128" s="3"/>
      <c r="B128" s="9" t="s">
        <v>24</v>
      </c>
      <c r="C128" s="9">
        <v>1</v>
      </c>
      <c r="F128" s="9">
        <v>1</v>
      </c>
      <c r="N128" s="9">
        <v>1</v>
      </c>
    </row>
    <row r="129" spans="1:14" x14ac:dyDescent="0.15">
      <c r="A129" s="3"/>
      <c r="B129" s="9" t="s">
        <v>25</v>
      </c>
      <c r="C129" s="9">
        <v>1</v>
      </c>
      <c r="F129" s="9">
        <v>1</v>
      </c>
      <c r="L129" s="6" t="s">
        <v>66</v>
      </c>
    </row>
    <row r="130" spans="1:14" x14ac:dyDescent="0.15">
      <c r="A130" s="3"/>
      <c r="B130" s="11" t="s">
        <v>35</v>
      </c>
      <c r="C130" s="9">
        <v>1</v>
      </c>
      <c r="F130" s="9">
        <v>1</v>
      </c>
      <c r="G130">
        <f>SUM(F123:F130)</f>
        <v>8</v>
      </c>
      <c r="N130" s="9">
        <v>1</v>
      </c>
    </row>
    <row r="131" spans="1:14" x14ac:dyDescent="0.15">
      <c r="A131" s="3"/>
    </row>
    <row r="132" spans="1:14" x14ac:dyDescent="0.15">
      <c r="A132" s="4" t="s">
        <v>39</v>
      </c>
      <c r="B132" s="6" t="s">
        <v>37</v>
      </c>
      <c r="C132" s="6">
        <v>2</v>
      </c>
      <c r="F132" s="6">
        <v>2</v>
      </c>
      <c r="L132" s="19">
        <v>1</v>
      </c>
    </row>
    <row r="133" spans="1:14" x14ac:dyDescent="0.15">
      <c r="A133" s="3"/>
      <c r="B133" s="13" t="s">
        <v>34</v>
      </c>
      <c r="C133" s="13">
        <v>1</v>
      </c>
      <c r="F133" s="13">
        <v>1</v>
      </c>
      <c r="G133">
        <f>SUM(F133)</f>
        <v>1</v>
      </c>
      <c r="N133" s="13">
        <v>1</v>
      </c>
    </row>
    <row r="134" spans="1:14" x14ac:dyDescent="0.15">
      <c r="A134" s="3"/>
    </row>
    <row r="135" spans="1:14" x14ac:dyDescent="0.15">
      <c r="A135" s="4" t="s">
        <v>103</v>
      </c>
      <c r="B135" s="6" t="s">
        <v>37</v>
      </c>
      <c r="C135" s="6">
        <v>2</v>
      </c>
      <c r="F135" s="6">
        <v>2</v>
      </c>
      <c r="L135" s="19">
        <v>1</v>
      </c>
    </row>
    <row r="136" spans="1:14" x14ac:dyDescent="0.15">
      <c r="A136" s="3"/>
      <c r="B136" s="5" t="s">
        <v>34</v>
      </c>
      <c r="C136" s="5">
        <v>1</v>
      </c>
      <c r="F136" s="5">
        <v>1</v>
      </c>
      <c r="N136" s="5">
        <v>1</v>
      </c>
    </row>
    <row r="137" spans="1:14" x14ac:dyDescent="0.15">
      <c r="A137" s="3"/>
      <c r="B137" s="8" t="s">
        <v>32</v>
      </c>
      <c r="C137" s="5">
        <v>1</v>
      </c>
      <c r="F137" s="5">
        <v>1</v>
      </c>
      <c r="N137" s="5">
        <v>1</v>
      </c>
    </row>
    <row r="138" spans="1:14" x14ac:dyDescent="0.15">
      <c r="A138" s="3"/>
      <c r="B138" s="8" t="s">
        <v>21</v>
      </c>
      <c r="C138" s="5">
        <v>1</v>
      </c>
      <c r="F138" s="5">
        <v>1</v>
      </c>
      <c r="N138" s="5">
        <v>1</v>
      </c>
    </row>
    <row r="139" spans="1:14" x14ac:dyDescent="0.15">
      <c r="A139" s="3"/>
      <c r="B139" s="8" t="s">
        <v>27</v>
      </c>
      <c r="C139" s="5">
        <v>2</v>
      </c>
      <c r="F139" s="5">
        <v>2</v>
      </c>
      <c r="N139" s="5">
        <v>2</v>
      </c>
    </row>
    <row r="140" spans="1:14" x14ac:dyDescent="0.15">
      <c r="A140" s="3"/>
      <c r="B140" s="5" t="s">
        <v>19</v>
      </c>
      <c r="C140" s="5">
        <v>1</v>
      </c>
      <c r="F140" s="5">
        <v>1</v>
      </c>
      <c r="N140" s="5">
        <v>1</v>
      </c>
    </row>
    <row r="141" spans="1:14" x14ac:dyDescent="0.15">
      <c r="A141" s="3"/>
      <c r="B141" s="5" t="s">
        <v>17</v>
      </c>
      <c r="C141" s="5">
        <v>1</v>
      </c>
      <c r="F141" s="5">
        <v>1</v>
      </c>
      <c r="N141" s="5">
        <v>1</v>
      </c>
    </row>
    <row r="142" spans="1:14" x14ac:dyDescent="0.15">
      <c r="A142" s="3"/>
      <c r="B142" s="5" t="s">
        <v>18</v>
      </c>
      <c r="C142" s="5">
        <v>1</v>
      </c>
      <c r="F142" s="5">
        <v>1</v>
      </c>
      <c r="N142" s="5">
        <v>1</v>
      </c>
    </row>
    <row r="143" spans="1:14" x14ac:dyDescent="0.15">
      <c r="A143" s="3"/>
      <c r="B143" s="5" t="s">
        <v>20</v>
      </c>
      <c r="C143" s="5">
        <v>1</v>
      </c>
      <c r="F143" s="5">
        <v>1</v>
      </c>
      <c r="N143" s="5">
        <v>1</v>
      </c>
    </row>
    <row r="144" spans="1:14" x14ac:dyDescent="0.15">
      <c r="A144" s="3"/>
      <c r="B144" s="5" t="s">
        <v>3</v>
      </c>
      <c r="C144" s="5">
        <v>1</v>
      </c>
      <c r="F144" s="5">
        <v>1</v>
      </c>
      <c r="N144" s="5">
        <v>1</v>
      </c>
    </row>
    <row r="145" spans="1:14" x14ac:dyDescent="0.15">
      <c r="A145" s="3"/>
      <c r="B145" s="11" t="s">
        <v>35</v>
      </c>
      <c r="C145" s="9">
        <v>1</v>
      </c>
      <c r="F145" s="9">
        <v>1</v>
      </c>
      <c r="G145">
        <f>SUM(F136:F145)</f>
        <v>11</v>
      </c>
      <c r="N145" s="9">
        <v>1</v>
      </c>
    </row>
    <row r="146" spans="1:14" x14ac:dyDescent="0.15">
      <c r="A146" s="3"/>
    </row>
    <row r="147" spans="1:14" x14ac:dyDescent="0.15">
      <c r="A147" s="4" t="s">
        <v>79</v>
      </c>
      <c r="B147" s="6" t="s">
        <v>37</v>
      </c>
      <c r="C147" s="6">
        <v>2</v>
      </c>
      <c r="F147" s="6">
        <v>2</v>
      </c>
      <c r="L147" s="19">
        <v>1</v>
      </c>
    </row>
    <row r="148" spans="1:14" x14ac:dyDescent="0.15">
      <c r="A148" s="3"/>
      <c r="B148" s="5" t="s">
        <v>34</v>
      </c>
      <c r="C148" s="5">
        <v>1</v>
      </c>
      <c r="F148" s="5">
        <v>1</v>
      </c>
      <c r="N148" s="5">
        <v>1</v>
      </c>
    </row>
    <row r="149" spans="1:14" x14ac:dyDescent="0.15">
      <c r="A149" s="3"/>
      <c r="B149" s="8" t="s">
        <v>4</v>
      </c>
      <c r="C149" s="5">
        <v>1</v>
      </c>
      <c r="F149" s="5">
        <v>1</v>
      </c>
      <c r="G149">
        <f>SUM(F148:F149)</f>
        <v>2</v>
      </c>
      <c r="N149" s="5">
        <v>1</v>
      </c>
    </row>
    <row r="150" spans="1:14" x14ac:dyDescent="0.15">
      <c r="A150" s="3"/>
    </row>
    <row r="151" spans="1:14" x14ac:dyDescent="0.15">
      <c r="A151" s="4" t="s">
        <v>28</v>
      </c>
      <c r="B151" s="6" t="s">
        <v>37</v>
      </c>
      <c r="C151" s="6">
        <v>3</v>
      </c>
      <c r="F151" s="6">
        <v>3</v>
      </c>
      <c r="L151" s="19">
        <v>1</v>
      </c>
    </row>
    <row r="152" spans="1:14" x14ac:dyDescent="0.15">
      <c r="A152" s="3"/>
      <c r="B152" s="5" t="s">
        <v>34</v>
      </c>
      <c r="C152" s="5">
        <v>1</v>
      </c>
      <c r="F152" s="5">
        <v>1</v>
      </c>
      <c r="N152" s="5">
        <v>1</v>
      </c>
    </row>
    <row r="153" spans="1:14" x14ac:dyDescent="0.15">
      <c r="A153" s="3"/>
      <c r="B153" s="8" t="s">
        <v>4</v>
      </c>
      <c r="C153" s="5">
        <v>1</v>
      </c>
      <c r="F153" s="5">
        <v>1</v>
      </c>
      <c r="G153">
        <f>SUM(F152:F153)</f>
        <v>2</v>
      </c>
      <c r="N153" s="5">
        <v>1</v>
      </c>
    </row>
    <row r="154" spans="1:14" x14ac:dyDescent="0.15">
      <c r="K154" t="s">
        <v>113</v>
      </c>
      <c r="L154">
        <f>SUM(L2:L153)</f>
        <v>54</v>
      </c>
      <c r="N154">
        <f>SUM(N2:N153)</f>
        <v>38</v>
      </c>
    </row>
    <row r="155" spans="1:14" x14ac:dyDescent="0.15">
      <c r="F155" t="s">
        <v>113</v>
      </c>
      <c r="G155">
        <f>SUM(G2:G153)</f>
        <v>50</v>
      </c>
    </row>
  </sheetData>
  <mergeCells count="2">
    <mergeCell ref="K1:L1"/>
    <mergeCell ref="M1:N1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H19" sqref="H19"/>
    </sheetView>
  </sheetViews>
  <sheetFormatPr baseColWidth="10" defaultColWidth="8.83203125" defaultRowHeight="13" x14ac:dyDescent="0.15"/>
  <cols>
    <col min="1" max="1" width="7.6640625" customWidth="1"/>
  </cols>
  <sheetData>
    <row r="1" spans="1:2" x14ac:dyDescent="0.15">
      <c r="A1" s="32">
        <v>43265</v>
      </c>
      <c r="B1" t="s">
        <v>109</v>
      </c>
    </row>
    <row r="3" spans="1:2" x14ac:dyDescent="0.15">
      <c r="A3" s="32">
        <v>43272</v>
      </c>
      <c r="B3" t="s">
        <v>110</v>
      </c>
    </row>
    <row r="4" spans="1:2" x14ac:dyDescent="0.15">
      <c r="A4" s="32"/>
      <c r="B4" s="33" t="s">
        <v>118</v>
      </c>
    </row>
    <row r="5" spans="1:2" x14ac:dyDescent="0.15">
      <c r="A5" s="32"/>
      <c r="B5" s="33" t="s">
        <v>119</v>
      </c>
    </row>
    <row r="6" spans="1:2" x14ac:dyDescent="0.15">
      <c r="A6" s="32"/>
      <c r="B6" s="33" t="s">
        <v>120</v>
      </c>
    </row>
    <row r="7" spans="1:2" x14ac:dyDescent="0.15">
      <c r="B7" s="33" t="s">
        <v>121</v>
      </c>
    </row>
    <row r="8" spans="1:2" x14ac:dyDescent="0.15">
      <c r="B8" s="33" t="s">
        <v>122</v>
      </c>
    </row>
    <row r="9" spans="1:2" x14ac:dyDescent="0.15">
      <c r="B9" s="33"/>
    </row>
    <row r="10" spans="1:2" x14ac:dyDescent="0.15">
      <c r="A10" s="32">
        <v>43279</v>
      </c>
      <c r="B10" t="s">
        <v>111</v>
      </c>
    </row>
    <row r="12" spans="1:2" x14ac:dyDescent="0.15">
      <c r="A12" s="32">
        <v>43279</v>
      </c>
      <c r="B12" t="s">
        <v>112</v>
      </c>
    </row>
    <row r="14" spans="1:2" x14ac:dyDescent="0.15">
      <c r="A14" s="32">
        <v>43312</v>
      </c>
      <c r="B14" s="33" t="s">
        <v>117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List</vt:lpstr>
      <vt:lpstr>Key Milestones</vt:lpstr>
      <vt:lpstr>Sheet3</vt:lpstr>
    </vt:vector>
  </TitlesOfParts>
  <Company>Square Systems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McConnell</dc:creator>
  <cp:lastModifiedBy>Ray Huetter</cp:lastModifiedBy>
  <dcterms:created xsi:type="dcterms:W3CDTF">2017-10-05T10:55:09Z</dcterms:created>
  <dcterms:modified xsi:type="dcterms:W3CDTF">2018-06-07T04:52:35Z</dcterms:modified>
</cp:coreProperties>
</file>